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xihao.han\ONEDRI~1\Installation\Share\PM\"/>
    </mc:Choice>
  </mc:AlternateContent>
  <xr:revisionPtr revIDLastSave="0" documentId="13_ncr:1_{85BA9F12-2B9B-459D-B581-4F47331E55E6}" xr6:coauthVersionLast="47" xr6:coauthVersionMax="47" xr10:uidLastSave="{00000000-0000-0000-0000-000000000000}"/>
  <bookViews>
    <workbookView xWindow="-110" yWindow="-110" windowWidth="19420" windowHeight="11500" xr2:uid="{FEE137E1-B634-4F9F-B613-41CCE9AEED11}"/>
  </bookViews>
  <sheets>
    <sheet name="PM Schedul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10" i="1" l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F8" i="1"/>
  <c r="G8" i="1" s="1"/>
  <c r="H8" i="1" s="1"/>
  <c r="F7" i="1"/>
  <c r="G7" i="1" s="1"/>
  <c r="H7" i="1" s="1"/>
  <c r="F6" i="1"/>
  <c r="G6" i="1" s="1"/>
  <c r="H6" i="1" s="1"/>
  <c r="G5" i="1"/>
  <c r="H5" i="1" s="1"/>
</calcChain>
</file>

<file path=xl/sharedStrings.xml><?xml version="1.0" encoding="utf-8"?>
<sst xmlns="http://schemas.openxmlformats.org/spreadsheetml/2006/main" count="24" uniqueCount="22">
  <si>
    <t>Preventive Maintenance Schedule</t>
  </si>
  <si>
    <t>Choose 1, 3, 6, or 12 months in Frequency, or type any positive number of months manually. Next Due updates from Last Completed.</t>
  </si>
  <si>
    <t>Task ID (WI)</t>
  </si>
  <si>
    <t>Equipment / Area</t>
  </si>
  <si>
    <t>Maintenance Task</t>
  </si>
  <si>
    <t xml:space="preserve">Tools Needed </t>
  </si>
  <si>
    <t>Frequency (Months)</t>
  </si>
  <si>
    <t>Last Completed</t>
  </si>
  <si>
    <t>Next Due</t>
  </si>
  <si>
    <t>Status</t>
  </si>
  <si>
    <t>Notes</t>
  </si>
  <si>
    <t>Last Alert Sent</t>
  </si>
  <si>
    <t>ZTE wifi</t>
  </si>
  <si>
    <t xml:space="preserve">Refresh verification </t>
  </si>
  <si>
    <t xml:space="preserve">WeChat </t>
  </si>
  <si>
    <t xml:space="preserve">Spherical Bearings </t>
  </si>
  <si>
    <t xml:space="preserve">Greasing </t>
  </si>
  <si>
    <t xml:space="preserve">21505 - greasing gun </t>
  </si>
  <si>
    <t xml:space="preserve">Slewing Bearing External Gear Teeth </t>
  </si>
  <si>
    <t>21526 - brush</t>
  </si>
  <si>
    <t xml:space="preserve">Slewing Bearing Internal Rollers </t>
  </si>
  <si>
    <t>21509 - greasing gun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</si>
</sst>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i/>
      <sz val="11"/>
      <color rgb="FF666666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2" borderId="0" xfId="0" applyFont="1" applyFill="1"/>
    <xf numFmtId="0" fontId="3" fillId="0" borderId="0" xfId="0" applyFont="1" applyAlignment="1">
      <alignment wrapText="1"/>
    </xf>
  </cellXfs>
  <cellStyles count="1">
    <cellStyle name="Normal" xfId="0" builtinId="0"/>
  </cellStyles>
  <dxfs count="11">
    <dxf>
      <numFmt numFmtId="164" formatCode="yyyy\-mm\-dd"/>
      <alignment horizontal="center"/>
    </dxf>
    <dxf>
      <alignment wrapText="1"/>
    </dxf>
    <dxf>
      <numFmt numFmtId="0" formatCode="General"/>
      <alignment horizontal="center"/>
    </dxf>
    <dxf>
      <numFmt numFmtId="164" formatCode="yyyy\-mm\-dd"/>
      <alignment horizontal="center"/>
    </dxf>
    <dxf>
      <numFmt numFmtId="164" formatCode="yyyy\-mm\-dd"/>
      <alignment horizontal="center"/>
    </dxf>
    <dxf>
      <numFmt numFmtId="1" formatCode="0"/>
      <alignment horizontal="center"/>
    </dxf>
    <dxf>
      <numFmt numFmtId="0" formatCode="General"/>
    </dxf>
    <dxf>
      <font>
        <b/>
      </font>
      <alignment horizontal="center"/>
    </dxf>
    <dxf>
      <font>
        <color rgb="FF274E13"/>
      </font>
      <fill>
        <patternFill patternType="solid">
          <fgColor indexed="64"/>
          <bgColor rgb="FFD9EAD3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D68EE8-FCE1-431F-8703-895B63EB4351}" name="PM_Schedule" displayName="PM_Schedule" ref="A4:J15" totalsRowShown="0" headerRowDxfId="7">
  <autoFilter ref="A4:J15" xr:uid="{94D68EE8-FCE1-431F-8703-895B63EB4351}"/>
  <tableColumns count="10">
    <tableColumn id="1" xr3:uid="{45872597-F5B6-4E0A-B0E0-6D6756870AE3}" name="Task ID (WI)"/>
    <tableColumn id="2" xr3:uid="{7D93CC0B-4FED-495E-B0E9-C7A410D4AB74}" name="Equipment / Area"/>
    <tableColumn id="3" xr3:uid="{6E5D1038-CB05-4E22-9882-5366EB3345DA}" name="Maintenance Task"/>
    <tableColumn id="9" xr3:uid="{279FE6C1-EEC4-4E24-90C3-EED08D3D21DA}" name="Tools Needed " dataDxfId="6">
      <calculatedColumnFormula>- 21505
- 21526
- 21509</calculatedColumnFormula>
    </tableColumn>
    <tableColumn id="4" xr3:uid="{35EEB95B-3A4E-4593-AF4C-03FB262BB2A0}" name="Frequency (Months)" dataDxfId="5"/>
    <tableColumn id="5" xr3:uid="{048EF647-95E2-494E-88AE-A237DB4E2F3B}" name="Last Completed" dataDxfId="4"/>
    <tableColumn id="6" xr3:uid="{D64F702A-03CE-451F-95D6-097051A7B90A}" name="Next Due" dataDxfId="3">
      <calculatedColumnFormula>IF(OR(E5="",F5=""),"",EDATE(F5,E5))</calculatedColumnFormula>
    </tableColumn>
    <tableColumn id="7" xr3:uid="{B09C9801-84FA-4004-B404-BCB7273F861C}" name="Status" dataDxfId="2">
      <calculatedColumnFormula>IF(G5="","",IF(G5&lt;TODAY(),"Overdue",IF(G5&lt;=TODAY()+30,"Due Soon ("&amp;(G5-TODAY())&amp;IF(G5-TODAY()=1," day left)"," days left)"),"Scheduled")))</calculatedColumnFormula>
    </tableColumn>
    <tableColumn id="8" xr3:uid="{D9F3F01F-1EA4-416F-AE1D-6BA77705CA31}" name="Notes" dataDxfId="1"/>
    <tableColumn id="10" xr3:uid="{0768AC7A-CA6C-4CD7-8AF3-12CB4D889DCD}" name="Last Alert S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D7441-061B-4A3F-8A74-B210A8343AA7}">
  <sheetPr codeName="Sheet1"/>
  <dimension ref="A1:J15"/>
  <sheetViews>
    <sheetView tabSelected="1" zoomScale="90" zoomScaleNormal="90" workbookViewId="0">
      <selection activeCell="D11" sqref="D11"/>
    </sheetView>
  </sheetViews>
  <sheetFormatPr defaultRowHeight="14.5" x14ac:dyDescent="0.35"/>
  <cols>
    <col min="1" max="1" width="15.1796875" bestFit="1" customWidth="1"/>
    <col min="2" max="2" width="30.26953125" bestFit="1" customWidth="1"/>
    <col min="3" max="3" width="20.54296875" bestFit="1" customWidth="1"/>
    <col min="4" max="4" width="17.453125" bestFit="1" customWidth="1"/>
    <col min="5" max="5" width="22.1796875" bestFit="1" customWidth="1"/>
    <col min="6" max="6" width="18.54296875" bestFit="1" customWidth="1"/>
    <col min="7" max="7" width="12.81640625" bestFit="1" customWidth="1"/>
    <col min="8" max="8" width="19.453125" bestFit="1" customWidth="1"/>
    <col min="9" max="9" width="10.1796875" bestFit="1" customWidth="1"/>
    <col min="10" max="10" width="17.26953125" customWidth="1"/>
  </cols>
  <sheetData>
    <row r="1" spans="1:10" ht="32.15" customHeight="1" x14ac:dyDescent="0.55000000000000004">
      <c r="A1" s="6" t="s">
        <v>0</v>
      </c>
      <c r="B1" s="6"/>
      <c r="C1" s="6"/>
      <c r="D1" s="6"/>
      <c r="E1" s="6"/>
      <c r="F1" s="6"/>
      <c r="G1" s="6"/>
      <c r="H1" s="6"/>
      <c r="I1" s="6"/>
    </row>
    <row r="2" spans="1:10" ht="30" customHeight="1" x14ac:dyDescent="0.35">
      <c r="A2" s="7" t="s">
        <v>1</v>
      </c>
      <c r="B2" s="7"/>
      <c r="C2" s="7"/>
      <c r="D2" s="7"/>
      <c r="E2" s="7"/>
      <c r="F2" s="7"/>
      <c r="G2" s="7"/>
      <c r="H2" s="7"/>
      <c r="I2" s="7"/>
    </row>
    <row r="4" spans="1:10" x14ac:dyDescent="0.3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  <c r="H4" s="1" t="s">
        <v>9</v>
      </c>
      <c r="I4" s="1" t="s">
        <v>10</v>
      </c>
      <c r="J4" s="1" t="s">
        <v>11</v>
      </c>
    </row>
    <row r="5" spans="1:10" x14ac:dyDescent="0.35">
      <c r="A5">
        <v>0</v>
      </c>
      <c r="B5" t="s">
        <v>12</v>
      </c>
      <c r="C5" s="5" t="s">
        <v>13</v>
      </c>
      <c r="D5" s="5" t="s">
        <v>14</v>
      </c>
      <c r="E5" s="2">
        <v>1</v>
      </c>
      <c r="F5" s="3">
        <v>46280</v>
      </c>
      <c r="G5" s="3">
        <f>IF(OR(E5="",F5=""),"",EDATE(F5,E5))</f>
        <v>46310</v>
      </c>
      <c r="H5" s="4" t="str">
        <f ca="1">IF(G5="","",IF(G5&lt;TODAY(),"Overdue",IF(G5&lt;=TODAY()+30,"Due Soon ("&amp;(G5-TODAY())&amp;IF(G5-TODAY()=1," day left)"," days left)"),"Scheduled")))</f>
        <v>Due Soon (19 days left)</v>
      </c>
      <c r="I5" s="5"/>
      <c r="J5" s="3"/>
    </row>
    <row r="6" spans="1:10" x14ac:dyDescent="0.35">
      <c r="A6">
        <v>21525</v>
      </c>
      <c r="B6" t="s">
        <v>15</v>
      </c>
      <c r="C6" s="5" t="s">
        <v>16</v>
      </c>
      <c r="D6" s="5" t="s">
        <v>17</v>
      </c>
      <c r="E6" s="2">
        <v>3</v>
      </c>
      <c r="F6" s="3">
        <f>DATE(2026,9,15)</f>
        <v>46280</v>
      </c>
      <c r="G6" s="3">
        <f>IF(OR(E6="",F6=""),"",EDATE(F6,E6))</f>
        <v>46371</v>
      </c>
      <c r="H6" s="4" t="str">
        <f t="shared" ref="H6:H15" ca="1" si="0">IF(G6="","",IF(G6&lt;TODAY(),"Overdue",IF(G6&lt;=TODAY()+30,"Due Soon ("&amp;(G6-TODAY())&amp;IF(G6-TODAY()=1," day left)"," days left)"),"Scheduled")))</f>
        <v>Scheduled</v>
      </c>
      <c r="I6" s="5"/>
      <c r="J6" s="3"/>
    </row>
    <row r="7" spans="1:10" x14ac:dyDescent="0.35">
      <c r="A7">
        <v>21525</v>
      </c>
      <c r="B7" t="s">
        <v>18</v>
      </c>
      <c r="C7" s="5" t="s">
        <v>16</v>
      </c>
      <c r="D7" t="s">
        <v>19</v>
      </c>
      <c r="E7" s="2">
        <v>3</v>
      </c>
      <c r="F7" s="3">
        <f>DATE(2026,9,15)</f>
        <v>46280</v>
      </c>
      <c r="G7" s="3">
        <f t="shared" ref="G7:G15" si="1">IF(OR(E7="",F7=""),"",EDATE(F7,E7))</f>
        <v>46371</v>
      </c>
      <c r="H7" s="4" t="str">
        <f t="shared" ca="1" si="0"/>
        <v>Scheduled</v>
      </c>
      <c r="I7" s="5"/>
      <c r="J7" s="3"/>
    </row>
    <row r="8" spans="1:10" x14ac:dyDescent="0.35">
      <c r="A8">
        <v>21525</v>
      </c>
      <c r="B8" t="s">
        <v>20</v>
      </c>
      <c r="C8" s="5" t="s">
        <v>16</v>
      </c>
      <c r="D8" s="5" t="s">
        <v>21</v>
      </c>
      <c r="E8" s="2">
        <v>3</v>
      </c>
      <c r="F8" s="3">
        <f>DATE(2026,9,15)</f>
        <v>46280</v>
      </c>
      <c r="G8" s="3">
        <f t="shared" si="1"/>
        <v>46371</v>
      </c>
      <c r="H8" s="4" t="str">
        <f t="shared" ca="1" si="0"/>
        <v>Scheduled</v>
      </c>
      <c r="I8" s="5"/>
      <c r="J8" s="3"/>
    </row>
    <row r="9" spans="1:10" x14ac:dyDescent="0.35">
      <c r="E9" s="2"/>
      <c r="F9" s="3"/>
      <c r="G9" s="3"/>
      <c r="H9" s="4"/>
      <c r="I9" s="5"/>
      <c r="J9" s="3"/>
    </row>
    <row r="10" spans="1:10" x14ac:dyDescent="0.35">
      <c r="E10" s="2"/>
      <c r="F10" s="3"/>
      <c r="G10" s="3" t="str">
        <f t="shared" si="1"/>
        <v/>
      </c>
      <c r="H10" s="4" t="str">
        <f t="shared" ca="1" si="0"/>
        <v/>
      </c>
      <c r="I10" s="5"/>
      <c r="J10" s="3"/>
    </row>
    <row r="11" spans="1:10" x14ac:dyDescent="0.35">
      <c r="E11" s="2"/>
      <c r="F11" s="3"/>
      <c r="G11" s="3" t="str">
        <f t="shared" si="1"/>
        <v/>
      </c>
      <c r="H11" s="4" t="str">
        <f t="shared" ca="1" si="0"/>
        <v/>
      </c>
      <c r="I11" s="5"/>
      <c r="J11" s="3"/>
    </row>
    <row r="12" spans="1:10" x14ac:dyDescent="0.35">
      <c r="E12" s="2"/>
      <c r="F12" s="3"/>
      <c r="G12" s="3" t="str">
        <f t="shared" si="1"/>
        <v/>
      </c>
      <c r="H12" s="4" t="str">
        <f t="shared" ca="1" si="0"/>
        <v/>
      </c>
      <c r="I12" s="5"/>
      <c r="J12" s="3"/>
    </row>
    <row r="13" spans="1:10" x14ac:dyDescent="0.35">
      <c r="E13" s="2"/>
      <c r="F13" s="3"/>
      <c r="G13" s="3" t="str">
        <f t="shared" si="1"/>
        <v/>
      </c>
      <c r="H13" s="4" t="str">
        <f t="shared" ca="1" si="0"/>
        <v/>
      </c>
      <c r="I13" s="5"/>
      <c r="J13" s="3"/>
    </row>
    <row r="14" spans="1:10" x14ac:dyDescent="0.35">
      <c r="E14" s="2"/>
      <c r="F14" s="3"/>
      <c r="G14" s="3" t="str">
        <f t="shared" si="1"/>
        <v/>
      </c>
      <c r="H14" s="4" t="str">
        <f t="shared" ca="1" si="0"/>
        <v/>
      </c>
      <c r="I14" s="5"/>
      <c r="J14" s="3"/>
    </row>
    <row r="15" spans="1:10" x14ac:dyDescent="0.35">
      <c r="E15" s="2"/>
      <c r="F15" s="3"/>
      <c r="G15" s="3" t="str">
        <f t="shared" si="1"/>
        <v/>
      </c>
      <c r="H15" s="4" t="str">
        <f t="shared" ca="1" si="0"/>
        <v/>
      </c>
      <c r="I15" s="5"/>
      <c r="J15" s="3"/>
    </row>
  </sheetData>
  <mergeCells count="2">
    <mergeCell ref="A1:I1"/>
    <mergeCell ref="A2:I2"/>
  </mergeCells>
  <conditionalFormatting sqref="H5:H15">
    <cfRule type="expression" dxfId="10" priority="1">
      <formula>H5="Overdue"</formula>
    </cfRule>
    <cfRule type="expression" dxfId="9" priority="2">
      <formula>LEFT(H5,8)="Due Soon"</formula>
    </cfRule>
    <cfRule type="expression" dxfId="8" priority="3">
      <formula>H5="Scheduled"</formula>
    </cfRule>
  </conditionalFormatting>
  <dataValidations count="1">
    <dataValidation type="list" allowBlank="1" showInputMessage="1" errorTitle="Custom frequency" error="Custom month values are allowed." promptTitle="Frequency in months" prompt="Select 1, 3, 6, or 12, or type another positive whole number." sqref="E5:E15" xr:uid="{BE926C5B-4CF6-4249-BA84-744A4CB624D4}">
      <formula1>"1,3,6,12"</formula1>
    </dataValidation>
  </dataValidations>
  <pageMargins left="0.7" right="0.7" top="0.75" bottom="0.75" header="0.3" footer="0.3"/>
  <ignoredErrors>
    <ignoredError sqref="D5:D8" calculatedColumn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PM Schedule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Han, Xihao</dc:creator>
  <cp:keywords/>
  <dc:description/>
  <cp:lastModifiedBy>Han, Xihao</cp:lastModifiedBy>
  <cp:revision/>
  <dcterms:created xsi:type="dcterms:W3CDTF">2026-09-15T08:19:01Z</dcterms:created>
  <dcterms:modified xsi:type="dcterms:W3CDTF">2026-09-26T02:40:00Z</dcterms:modified>
  <cp:category/>
  <cp:contentStatus/>
</cp:coreProperties>
</file>